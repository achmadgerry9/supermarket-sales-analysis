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ortfolio 2026\supermarket-sales-analysis\excel\"/>
    </mc:Choice>
  </mc:AlternateContent>
  <xr:revisionPtr revIDLastSave="0" documentId="13_ncr:1_{DCA94ED3-9ED8-41FB-81BA-8E7A6B2382DA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Dashboard" sheetId="4" r:id="rId1"/>
    <sheet name="Analysis" sheetId="2" r:id="rId2"/>
    <sheet name="Data" sheetId="3" r:id="rId3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4" l="1"/>
  <c r="G6" i="4"/>
  <c r="D6" i="4"/>
  <c r="A6" i="4"/>
  <c r="N9" i="2"/>
  <c r="N10" i="2"/>
  <c r="N11" i="2"/>
  <c r="N12" i="2"/>
  <c r="N13" i="2"/>
  <c r="N8" i="2"/>
  <c r="M9" i="2"/>
  <c r="M10" i="2"/>
  <c r="M11" i="2"/>
  <c r="M12" i="2"/>
  <c r="M13" i="2"/>
  <c r="M8" i="2"/>
  <c r="L9" i="2"/>
  <c r="L10" i="2"/>
  <c r="L11" i="2"/>
  <c r="L12" i="2"/>
  <c r="L13" i="2"/>
  <c r="L8" i="2"/>
  <c r="N3" i="2"/>
  <c r="N4" i="2"/>
  <c r="M3" i="2"/>
  <c r="M4" i="2"/>
  <c r="N2" i="2"/>
  <c r="M2" i="2"/>
  <c r="L4" i="2"/>
  <c r="L3" i="2"/>
  <c r="L2" i="2"/>
  <c r="I4" i="2"/>
  <c r="I3" i="2"/>
  <c r="I2" i="2"/>
  <c r="H4" i="2"/>
  <c r="H3" i="2"/>
  <c r="H2" i="2"/>
  <c r="G4" i="2"/>
  <c r="G3" i="2"/>
  <c r="F4" i="2"/>
  <c r="F3" i="2"/>
  <c r="F2" i="2"/>
  <c r="G2" i="2"/>
  <c r="E4" i="2"/>
  <c r="E3" i="2"/>
  <c r="E2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<sst xmlns="http://schemas.openxmlformats.org/spreadsheetml/2006/main" count="7068" uniqueCount="1067">
  <si>
    <t>invoice_id</t>
  </si>
  <si>
    <t>branch</t>
  </si>
  <si>
    <t>city</t>
  </si>
  <si>
    <t>customer_type</t>
  </si>
  <si>
    <t>gender</t>
  </si>
  <si>
    <t>product_line</t>
  </si>
  <si>
    <t>unit_price</t>
  </si>
  <si>
    <t>quantity</t>
  </si>
  <si>
    <t>tax</t>
  </si>
  <si>
    <t>total</t>
  </si>
  <si>
    <t>date</t>
  </si>
  <si>
    <t>time</t>
  </si>
  <si>
    <t>payment</t>
  </si>
  <si>
    <t>cogs</t>
  </si>
  <si>
    <t>gross_margin_percentage</t>
  </si>
  <si>
    <t>gross_income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</si>
  <si>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</si>
  <si>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</si>
  <si>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</si>
  <si>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</si>
  <si>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</si>
  <si>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</si>
  <si>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</si>
  <si>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</si>
  <si>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</si>
  <si>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</si>
  <si>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</si>
  <si>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</si>
  <si>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</si>
  <si>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</si>
  <si>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</si>
  <si>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</si>
  <si>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</si>
  <si>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</si>
  <si>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</si>
  <si>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</si>
  <si>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</si>
  <si>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</si>
  <si>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</si>
  <si>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</si>
  <si>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</si>
  <si>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</si>
  <si>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</si>
  <si>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</si>
  <si>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</si>
  <si>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</si>
  <si>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</si>
  <si>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</si>
  <si>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</si>
  <si>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</si>
  <si>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</si>
  <si>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</si>
  <si>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</si>
  <si>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</si>
  <si>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</si>
  <si>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</si>
  <si>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</si>
  <si>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</si>
  <si>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</si>
  <si>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</si>
  <si>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</si>
  <si>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</si>
  <si>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</si>
  <si>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</si>
  <si>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</si>
  <si>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</si>
  <si>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</si>
  <si>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</si>
  <si>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</si>
  <si>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</si>
  <si>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</si>
  <si>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</si>
  <si>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</si>
  <si>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</si>
  <si>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</si>
  <si>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</si>
  <si>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</si>
  <si>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</si>
  <si>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</si>
  <si>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</si>
  <si>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</si>
  <si>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</si>
  <si>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</si>
  <si>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</si>
  <si>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</si>
  <si>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</si>
  <si>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</si>
  <si>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</si>
  <si>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</si>
  <si>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</si>
  <si>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</si>
  <si>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</si>
  <si>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</si>
  <si>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</si>
  <si>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</si>
  <si>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</si>
  <si>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</si>
  <si>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</si>
  <si>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</si>
  <si>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</si>
  <si>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</si>
  <si>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</si>
  <si>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</si>
  <si>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</si>
  <si>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</si>
  <si>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</si>
  <si>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</si>
  <si>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</si>
  <si>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</si>
  <si>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</si>
  <si>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</si>
  <si>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</si>
  <si>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</si>
  <si>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</si>
  <si>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</si>
  <si>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</si>
  <si>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</si>
  <si>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</si>
  <si>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</si>
  <si>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</si>
  <si>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</si>
  <si>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</si>
  <si>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</si>
  <si>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</si>
  <si>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</si>
  <si>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</si>
  <si>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</si>
  <si>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</si>
  <si>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</si>
  <si>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</si>
  <si>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</si>
  <si>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</si>
  <si>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</si>
  <si>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</si>
  <si>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</si>
  <si>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</si>
  <si>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</si>
  <si>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</si>
  <si>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</si>
  <si>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</si>
  <si>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</si>
  <si>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</si>
  <si>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</si>
  <si>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</si>
  <si>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</si>
  <si>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</si>
  <si>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</si>
  <si>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</si>
  <si>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</si>
  <si>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</si>
  <si>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</si>
  <si>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</si>
  <si>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</si>
  <si>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</si>
  <si>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</si>
  <si>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</si>
  <si>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</si>
  <si>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</si>
  <si>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</si>
  <si>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</si>
  <si>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</si>
  <si>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</si>
  <si>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</si>
  <si>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</si>
  <si>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</si>
  <si>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</si>
  <si>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</si>
  <si>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</si>
  <si>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</si>
  <si>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</si>
  <si>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</si>
  <si>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</si>
  <si>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</si>
  <si>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</si>
  <si>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</si>
  <si>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</si>
  <si>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</si>
  <si>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</si>
  <si>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</si>
  <si>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</si>
  <si>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</si>
  <si>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</si>
  <si>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</si>
  <si>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</si>
  <si>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</si>
  <si>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</si>
  <si>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</si>
  <si>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</si>
  <si>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</si>
  <si>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</si>
  <si>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</si>
  <si>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</si>
  <si>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</si>
  <si>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</si>
  <si>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</si>
  <si>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</si>
  <si>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</si>
  <si>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</si>
  <si>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</si>
  <si>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</si>
  <si>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</si>
  <si>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</si>
  <si>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</si>
  <si>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</si>
  <si>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</si>
  <si>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</si>
  <si>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</si>
  <si>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</si>
  <si>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</si>
  <si>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</si>
  <si>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</si>
  <si>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</si>
  <si>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</si>
  <si>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</si>
  <si>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</si>
  <si>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</si>
  <si>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</si>
  <si>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</si>
  <si>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</si>
  <si>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</si>
  <si>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</si>
  <si>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</si>
  <si>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</si>
  <si>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</si>
  <si>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</si>
  <si>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</si>
  <si>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</si>
  <si>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</si>
  <si>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</si>
  <si>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</si>
  <si>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</si>
  <si>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</si>
  <si>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</si>
  <si>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</si>
  <si>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</si>
  <si>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</si>
  <si>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</si>
  <si>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</si>
  <si>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</si>
  <si>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</si>
  <si>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</si>
  <si>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</si>
  <si>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</si>
  <si>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</si>
  <si>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</si>
  <si>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</si>
  <si>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</si>
  <si>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</si>
  <si>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</si>
  <si>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</si>
  <si>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</si>
  <si>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</si>
  <si>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</si>
  <si>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</si>
  <si>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</si>
  <si>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</si>
  <si>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</si>
  <si>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</si>
  <si>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</si>
  <si>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</si>
  <si>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</si>
  <si>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</si>
  <si>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</si>
  <si>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</si>
  <si>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</si>
  <si>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</si>
  <si>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</si>
  <si>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</si>
  <si>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</si>
  <si>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</si>
  <si>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</si>
  <si>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</si>
  <si>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</si>
  <si>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</si>
  <si>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</si>
  <si>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</si>
  <si>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</si>
  <si>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</si>
  <si>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</si>
  <si>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</si>
  <si>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</si>
  <si>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</si>
  <si>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</si>
  <si>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</si>
  <si>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</si>
  <si>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</si>
  <si>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</si>
  <si>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</si>
  <si>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</si>
  <si>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</si>
  <si>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</si>
  <si>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</si>
  <si>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</si>
  <si>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</si>
  <si>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</si>
  <si>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</si>
  <si>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</si>
  <si>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</si>
  <si>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</si>
  <si>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</si>
  <si>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</si>
  <si>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</si>
  <si>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</si>
  <si>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</si>
  <si>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</si>
  <si>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</si>
  <si>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</si>
  <si>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</si>
  <si>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</si>
  <si>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</si>
  <si>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</si>
  <si>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</si>
  <si>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</si>
  <si>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</si>
  <si>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</si>
  <si>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</si>
  <si>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</si>
  <si>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</si>
  <si>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</si>
  <si>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</si>
  <si>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</si>
  <si>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</si>
  <si>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</si>
  <si>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</si>
  <si>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</si>
  <si>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</si>
  <si>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</si>
  <si>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</si>
  <si>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</si>
  <si>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</si>
  <si>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</si>
  <si>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</si>
  <si>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</si>
  <si>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</si>
  <si>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</si>
  <si>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</si>
  <si>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</si>
  <si>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</si>
  <si>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</si>
  <si>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</si>
  <si>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</si>
  <si>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</si>
  <si>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</si>
  <si>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</si>
  <si>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</si>
  <si>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</si>
  <si>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</si>
  <si>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</si>
  <si>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</si>
  <si>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</si>
  <si>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</si>
  <si>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</si>
  <si>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</si>
  <si>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</si>
  <si>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</si>
  <si>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</si>
  <si>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</si>
  <si>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</si>
  <si>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</si>
  <si>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</si>
  <si>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</si>
  <si>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</si>
  <si>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</si>
  <si>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</si>
  <si>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</si>
  <si>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</si>
  <si>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</si>
  <si>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</si>
  <si>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</si>
  <si>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</si>
  <si>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</si>
  <si>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</si>
  <si>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</si>
  <si>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</si>
  <si>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</si>
  <si>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</si>
  <si>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</si>
  <si>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</si>
  <si>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</si>
  <si>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</si>
  <si>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</si>
  <si>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</si>
  <si>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</si>
  <si>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</si>
  <si>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</si>
  <si>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</si>
  <si>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</si>
  <si>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</si>
  <si>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</si>
  <si>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</si>
  <si>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</si>
  <si>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</si>
  <si>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</si>
  <si>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</si>
  <si>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</si>
  <si>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</si>
  <si>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</si>
  <si>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</si>
  <si>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</si>
  <si>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</si>
  <si>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</si>
  <si>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</si>
  <si>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</si>
  <si>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</si>
  <si>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</si>
  <si>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</si>
  <si>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</si>
  <si>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</si>
  <si>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</si>
  <si>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</si>
  <si>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</si>
  <si>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</si>
  <si>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</si>
  <si>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</si>
  <si>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</si>
  <si>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</si>
  <si>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</si>
  <si>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</si>
  <si>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</si>
  <si>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</si>
  <si>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</si>
  <si>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</si>
  <si>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</si>
  <si>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</si>
  <si>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</si>
  <si>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</si>
  <si>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</si>
  <si>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</si>
  <si>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</si>
  <si>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</si>
  <si>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</si>
  <si>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</si>
  <si>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</si>
  <si>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</si>
  <si>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</si>
  <si>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</si>
  <si>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</si>
  <si>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</si>
  <si>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</si>
  <si>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</si>
  <si>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</si>
  <si>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</si>
  <si>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</si>
  <si>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</si>
  <si>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</si>
  <si>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</si>
  <si>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</si>
  <si>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</si>
  <si>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</si>
  <si>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</si>
  <si>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</si>
  <si>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</si>
  <si>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</si>
  <si>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</si>
  <si>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</si>
  <si>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</si>
  <si>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</si>
  <si>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</si>
  <si>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</si>
  <si>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</si>
  <si>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</si>
  <si>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</si>
  <si>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</si>
  <si>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</si>
  <si>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</si>
  <si>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</si>
  <si>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</si>
  <si>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</si>
  <si>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</si>
  <si>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</si>
  <si>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</si>
  <si>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</si>
  <si>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</si>
  <si>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</si>
  <si>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</si>
  <si>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</si>
  <si>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</si>
  <si>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</si>
  <si>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</si>
  <si>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</si>
  <si>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</si>
  <si>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</si>
  <si>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</si>
  <si>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</si>
  <si>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</si>
  <si>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</si>
  <si>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</si>
  <si>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</si>
  <si>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</si>
  <si>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</si>
  <si>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</si>
  <si>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</si>
  <si>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</si>
  <si>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</si>
  <si>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</si>
  <si>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</si>
  <si>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</si>
  <si>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</si>
  <si>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</si>
  <si>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</si>
  <si>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</si>
  <si>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</si>
  <si>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</si>
  <si>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</si>
  <si>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</si>
  <si>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</si>
  <si>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</si>
  <si>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</si>
  <si>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</si>
  <si>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</si>
  <si>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</si>
  <si>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</si>
  <si>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</si>
  <si>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</si>
  <si>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</si>
  <si>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</si>
  <si>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</si>
  <si>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</si>
  <si>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</si>
  <si>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</si>
  <si>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</si>
  <si>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</si>
  <si>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</si>
  <si>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</si>
  <si>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</si>
  <si>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</si>
  <si>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</si>
  <si>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</si>
  <si>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</si>
  <si>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</si>
  <si>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</si>
  <si>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</si>
  <si>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</si>
  <si>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</si>
  <si>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</si>
  <si>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</si>
  <si>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</si>
  <si>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</si>
  <si>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</si>
  <si>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</si>
  <si>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</si>
  <si>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</si>
  <si>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</si>
  <si>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</si>
  <si>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</si>
  <si>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</si>
  <si>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</si>
  <si>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</si>
  <si>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</si>
  <si>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</si>
  <si>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</si>
  <si>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</si>
  <si>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</si>
  <si>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</si>
  <si>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</si>
  <si>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</si>
  <si>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</si>
  <si>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</si>
  <si>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</si>
  <si>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</si>
  <si>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</si>
  <si>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</si>
  <si>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</si>
  <si>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</si>
  <si>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</si>
  <si>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</si>
  <si>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</si>
  <si>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</si>
  <si>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</si>
  <si>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</si>
  <si>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</si>
  <si>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</si>
  <si>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</si>
  <si>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</si>
  <si>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</si>
  <si>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</si>
  <si>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</si>
  <si>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</si>
  <si>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</si>
  <si>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</si>
  <si>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</si>
  <si>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</si>
  <si>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</si>
  <si>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</si>
  <si>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</si>
  <si>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</si>
  <si>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</si>
  <si>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</si>
  <si>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</si>
  <si>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</si>
  <si>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</si>
  <si>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</si>
  <si>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</si>
  <si>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</si>
  <si>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</si>
  <si>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</si>
  <si>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</si>
  <si>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</si>
  <si>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</si>
  <si>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</si>
  <si>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</si>
  <si>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</si>
  <si>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</si>
  <si>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</si>
  <si>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</si>
  <si>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</si>
  <si>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</si>
  <si>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</si>
  <si>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</si>
  <si>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</si>
  <si>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</si>
  <si>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</si>
  <si>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</si>
  <si>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</si>
  <si>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</si>
  <si>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</si>
  <si>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</si>
  <si>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</si>
  <si>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</si>
  <si>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</si>
  <si>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</si>
  <si>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</si>
  <si>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</si>
  <si>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</si>
  <si>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</si>
  <si>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</si>
  <si>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</si>
  <si>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</si>
  <si>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</si>
  <si>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</si>
  <si>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</si>
  <si>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</si>
  <si>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</si>
  <si>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</si>
  <si>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</si>
  <si>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</si>
  <si>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</si>
  <si>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</si>
  <si>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</si>
  <si>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</si>
  <si>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</si>
  <si>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</si>
  <si>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</si>
  <si>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</si>
  <si>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</si>
  <si>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</si>
  <si>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</si>
  <si>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</si>
  <si>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</si>
  <si>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</si>
  <si>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</si>
  <si>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</si>
  <si>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</si>
  <si>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</si>
  <si>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</si>
  <si>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</si>
  <si>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</si>
  <si>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</si>
  <si>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</si>
  <si>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</si>
  <si>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</si>
  <si>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</si>
  <si>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</si>
  <si>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</si>
  <si>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</si>
  <si>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</si>
  <si>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</si>
  <si>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</si>
  <si>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</si>
  <si>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</si>
  <si>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</si>
  <si>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</si>
  <si>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</si>
  <si>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</si>
  <si>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</si>
  <si>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</si>
  <si>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</si>
  <si>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</si>
  <si>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</si>
  <si>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</si>
  <si>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</si>
  <si>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</si>
  <si>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</si>
  <si>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</si>
  <si>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</si>
  <si>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</si>
  <si>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</si>
  <si>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</si>
  <si>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</si>
  <si>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</si>
  <si>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</si>
  <si>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</si>
  <si>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</si>
  <si>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</si>
  <si>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</si>
  <si>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</si>
  <si>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</si>
  <si>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</si>
  <si>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</si>
  <si>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</si>
  <si>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</si>
  <si>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</si>
  <si>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</si>
  <si>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</si>
  <si>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</si>
  <si>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</si>
  <si>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</si>
  <si>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</si>
  <si>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</si>
  <si>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</si>
  <si>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</si>
  <si>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</si>
  <si>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</si>
  <si>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</si>
  <si>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</si>
  <si>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</si>
  <si>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</si>
  <si>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</si>
  <si>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</si>
  <si>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</si>
  <si>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</si>
  <si>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</si>
  <si>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</si>
  <si>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</si>
  <si>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</si>
  <si>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</si>
  <si>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</si>
  <si>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</si>
  <si>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</si>
  <si>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</si>
  <si>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</si>
  <si>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</si>
  <si>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</si>
  <si>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</si>
  <si>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</si>
  <si>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</si>
  <si>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</si>
  <si>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</si>
  <si>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</si>
  <si>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</si>
  <si>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</si>
  <si>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</si>
  <si>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</si>
  <si>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</si>
  <si>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</si>
  <si>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</si>
  <si>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</si>
  <si>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</si>
  <si>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</si>
  <si>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</si>
  <si>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</si>
  <si>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</si>
  <si>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</si>
  <si>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</si>
  <si>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</si>
  <si>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</si>
  <si>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</si>
  <si>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</si>
  <si>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</si>
  <si>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</si>
  <si>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</si>
  <si>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</si>
  <si>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</si>
  <si>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</si>
  <si>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</si>
  <si>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</si>
  <si>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</si>
  <si>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</si>
  <si>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</si>
  <si>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</si>
  <si>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</si>
  <si>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</si>
  <si>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</si>
  <si>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</si>
  <si>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</si>
  <si>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</si>
  <si>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</si>
  <si>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</si>
  <si>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</si>
  <si>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</si>
  <si>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</si>
  <si>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</si>
  <si>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</si>
  <si>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</si>
  <si>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</si>
  <si>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</si>
  <si>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</si>
  <si>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</si>
  <si>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</si>
  <si>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</si>
  <si>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</si>
  <si>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</si>
  <si>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</si>
  <si>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</si>
  <si>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</si>
  <si>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</si>
  <si>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</si>
  <si>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</si>
  <si>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</si>
  <si>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</si>
  <si>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</si>
  <si>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</si>
  <si>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</si>
  <si>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</si>
  <si>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</si>
  <si>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</si>
  <si>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</si>
  <si>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</si>
  <si>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</si>
  <si>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</si>
  <si>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</si>
  <si>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</si>
  <si>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</si>
  <si>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</si>
  <si>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</si>
  <si>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</si>
  <si>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</si>
  <si>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</si>
  <si>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</si>
  <si>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</si>
  <si>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</si>
  <si>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</si>
  <si>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</si>
  <si>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</si>
  <si>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</si>
  <si>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</si>
  <si>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</si>
  <si>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</si>
  <si>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</si>
  <si>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</si>
  <si>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</si>
  <si>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</si>
  <si>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</si>
  <si>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</si>
  <si>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</si>
  <si>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</si>
  <si>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</si>
  <si>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</si>
  <si>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</si>
  <si>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</si>
  <si>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</si>
  <si>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</si>
  <si>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</si>
  <si>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</si>
  <si>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</si>
  <si>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</si>
  <si>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</si>
  <si>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</si>
  <si>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</si>
  <si>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</si>
  <si>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</si>
  <si>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</si>
  <si>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</si>
  <si>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</si>
  <si>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</si>
  <si>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</si>
  <si>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</si>
  <si>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</si>
  <si>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</si>
  <si>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</si>
  <si>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</si>
  <si>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</si>
  <si>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</si>
  <si>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</si>
  <si>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</si>
  <si>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</si>
  <si>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</si>
  <si>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</si>
  <si>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</si>
  <si>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</si>
  <si>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</si>
  <si>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</si>
  <si>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</si>
  <si>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</si>
  <si>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</si>
  <si>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</si>
  <si>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</si>
  <si>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</si>
  <si>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</si>
  <si>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</si>
  <si>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</si>
  <si>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</si>
  <si>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</si>
  <si>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</si>
  <si>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</si>
  <si>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</si>
  <si>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</si>
  <si>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</si>
  <si>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</si>
  <si>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</si>
  <si>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</si>
  <si>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</si>
  <si>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</si>
  <si>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</si>
  <si>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</si>
  <si>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</si>
  <si>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</si>
  <si>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</si>
  <si>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</si>
  <si>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</si>
  <si>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</si>
  <si>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</si>
  <si>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</si>
  <si>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</si>
  <si>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</si>
  <si>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</si>
  <si>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</si>
  <si>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</si>
  <si>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</si>
  <si>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</si>
  <si>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</si>
  <si>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</si>
  <si>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</si>
  <si>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</si>
  <si>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</si>
  <si>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</si>
  <si>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</si>
  <si>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</si>
  <si>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</si>
  <si>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</si>
  <si>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</si>
  <si>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</si>
  <si>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</si>
  <si>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</si>
  <si>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</si>
  <si>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</si>
  <si>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</si>
  <si>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</si>
  <si>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</si>
  <si>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</si>
  <si>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</si>
  <si>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</si>
  <si>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</si>
  <si>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</si>
  <si>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</si>
  <si>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</si>
  <si>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</si>
  <si>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</si>
  <si>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</si>
  <si>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</si>
  <si>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</si>
  <si>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</si>
  <si>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</si>
  <si>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</si>
  <si>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</si>
  <si>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</si>
  <si>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</si>
  <si>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</si>
  <si>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</si>
  <si>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</si>
  <si>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</si>
  <si>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</si>
  <si>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</si>
  <si>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</si>
  <si>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</si>
  <si>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</si>
  <si>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</si>
  <si>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</si>
  <si>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</si>
  <si>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</si>
  <si>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</si>
  <si>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</si>
  <si>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</si>
  <si>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</si>
  <si>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</si>
  <si>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</si>
  <si>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</si>
  <si>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</si>
  <si>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</si>
  <si>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</si>
  <si>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</si>
  <si>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</si>
  <si>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</si>
  <si>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</si>
  <si>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</si>
  <si>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</si>
  <si>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</si>
  <si>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</si>
  <si>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</si>
  <si>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</si>
  <si>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</si>
  <si>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</si>
  <si>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</si>
  <si>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</si>
  <si>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</si>
  <si>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</si>
  <si>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</si>
  <si>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</si>
  <si>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</si>
  <si>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</si>
  <si>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</si>
  <si>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</si>
  <si>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</si>
  <si>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</si>
  <si>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</si>
  <si>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</si>
  <si>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</si>
  <si>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</si>
  <si>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</si>
  <si>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</si>
  <si>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</si>
  <si>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</si>
  <si>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</si>
  <si>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</si>
  <si>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</si>
  <si>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</si>
  <si>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</si>
  <si>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</si>
  <si>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</si>
  <si>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</si>
  <si>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</si>
  <si>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</si>
  <si>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</si>
  <si>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</si>
  <si>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</si>
  <si>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</si>
  <si>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</si>
  <si>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</si>
  <si>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</si>
  <si>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</si>
  <si>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</si>
  <si>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</si>
  <si>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</si>
  <si>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</si>
  <si>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</si>
  <si>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</si>
  <si>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</si>
  <si>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</si>
  <si>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</si>
  <si>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</si>
  <si>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</si>
  <si>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</si>
  <si>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</si>
  <si>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</si>
  <si>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</si>
  <si>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</si>
  <si>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Metric</t>
  </si>
  <si>
    <t>Value</t>
  </si>
  <si>
    <t>Total Revenue</t>
  </si>
  <si>
    <t>Gross Income</t>
  </si>
  <si>
    <t>Total Transactions</t>
  </si>
  <si>
    <t>Total Units Sold</t>
  </si>
  <si>
    <t>Average Transaction Value</t>
  </si>
  <si>
    <t>Average Gross Income per Transaction</t>
  </si>
  <si>
    <t>Month</t>
  </si>
  <si>
    <t>Transactions</t>
  </si>
  <si>
    <t>Units Sold</t>
  </si>
  <si>
    <t>Revenue</t>
  </si>
  <si>
    <t>Avg Transaction</t>
  </si>
  <si>
    <t>Branch</t>
  </si>
  <si>
    <t>Product Line</t>
  </si>
  <si>
    <t>Supermarket Sales Performance Dashboard</t>
  </si>
  <si>
    <t>Sales Performance Analysis | January-March 2019</t>
  </si>
  <si>
    <t>Key Findings</t>
  </si>
  <si>
    <t>Recommendations</t>
  </si>
  <si>
    <t>• Fashion accessories had the highest transaction volume but the lowest average transaction value.</t>
  </si>
  <si>
    <t>• Branch C generated the highest revenue (110.6K) despite having the fewest transactions.</t>
  </si>
  <si>
    <t>• Food &amp; beverages was the top product line (56.1K revenue).</t>
  </si>
  <si>
    <t>• Member transactions averaged 327.79, compared with 318.12 for Normal customers.</t>
  </si>
  <si>
    <r>
      <t xml:space="preserve">1. </t>
    </r>
    <r>
      <rPr>
        <b/>
        <sz val="11"/>
        <color theme="1"/>
        <rFont val="Calibri"/>
        <family val="2"/>
        <scheme val="minor"/>
      </rPr>
      <t>Investigate Branch C's higher transaction value</t>
    </r>
    <r>
      <rPr>
        <sz val="11"/>
        <color theme="1"/>
        <rFont val="Calibri"/>
        <family val="2"/>
        <scheme val="minor"/>
      </rPr>
      <t xml:space="preserve"> and identify practices that could potentially be applied to other branches.</t>
    </r>
  </si>
  <si>
    <r>
      <t xml:space="preserve">2. </t>
    </r>
    <r>
      <rPr>
        <b/>
        <sz val="11"/>
        <rFont val="Calibri"/>
        <family val="2"/>
        <scheme val="minor"/>
      </rPr>
      <t>Investigate the February revenue decline</t>
    </r>
    <r>
      <rPr>
        <sz val="11"/>
        <rFont val="Calibri"/>
        <family val="2"/>
        <scheme val="minor"/>
      </rPr>
      <t xml:space="preserve"> by reviewing product and branch-level performance.</t>
    </r>
  </si>
  <si>
    <r>
      <t xml:space="preserve">4. </t>
    </r>
    <r>
      <rPr>
        <b/>
        <sz val="11"/>
        <color theme="1"/>
        <rFont val="Calibri"/>
        <family val="2"/>
        <scheme val="minor"/>
      </rPr>
      <t>Evaluate ways to strengthen member engagement</t>
    </r>
    <r>
      <rPr>
        <sz val="11"/>
        <color theme="1"/>
        <rFont val="Calibri"/>
        <family val="2"/>
        <scheme val="minor"/>
      </rPr>
      <t>, given the higher average transaction value among Member transactions.</t>
    </r>
  </si>
  <si>
    <t>• Revenue declined 16.4% in February and partially recovered in March.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</si>
  <si>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Supermarket sales transaction data, January-March 2019.</t>
    </r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</si>
  <si>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Customer-level repeat-purchase analysis is not possible because the dataset does not contain a customer identifier.</t>
    </r>
  </si>
  <si>
    <r>
      <t xml:space="preserve">3. </t>
    </r>
    <r>
      <rPr>
        <b/>
        <sz val="11"/>
        <color theme="1"/>
        <rFont val="Calibri"/>
        <family val="2"/>
        <scheme val="minor"/>
      </rPr>
      <t>Explore cross-selling or bundling opportunities for Fashion accessories</t>
    </r>
    <r>
      <rPr>
        <sz val="11"/>
        <color theme="1"/>
        <rFont val="Calibri"/>
        <family val="2"/>
        <scheme val="minor"/>
      </rPr>
      <t xml:space="preserve"> to increase average transaction value.</t>
    </r>
  </si>
  <si>
    <t>*All monetary values are presented in dataset units; currency is not specified in the source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</si>
</sst>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222222"/>
      <name val="Calibri"/>
      <family val="2"/>
    </font>
    <font>
      <sz val="1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5" fillId="0" borderId="0" xfId="0" applyFont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4" borderId="0" xfId="0" applyFont="1" applyFill="1" applyAlignment="1">
      <alignment vertical="center"/>
    </xf>
    <xf numFmtId="0" fontId="11" fillId="0" borderId="0" xfId="0" applyFont="1"/>
    <xf numFmtId="4" fontId="0" fillId="0" borderId="0" xfId="0" applyNumberFormat="1"/>
    <xf numFmtId="0" fontId="8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 indent="1"/>
    </xf>
    <xf numFmtId="0" fontId="9" fillId="4" borderId="0" xfId="0" applyFont="1" applyFill="1" applyAlignment="1">
      <alignment horizontal="left" vertical="top" wrapText="1" indent="1"/>
    </xf>
    <xf numFmtId="0" fontId="7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7" fillId="0" borderId="0" xfId="0" applyFont="1" applyAlignment="1">
      <alignment horizontal="left" vertical="top" wrapText="1" indent="1"/>
    </xf>
    <xf numFmtId="0" fontId="2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</cellXfs>
  <cellStyles count="1">
    <cellStyle name="Normal" xfId="0" builtinId="0"/>
  </cellStyles>
  <dxfs count="13">
    <dxf>
      <numFmt numFmtId="26" formatCode="h:mm:ss"/>
    </dxf>
    <dxf>
      <numFmt numFmtId="19" formatCode="m/d/yyyy"/>
    </dxf>
    <dxf>
      <numFmt numFmtId="2" formatCode="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</dxfs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Analysis!$G$1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Analysis!$D$2:$D$13</c:f>
              <c:numCache>
                <c:formatCode>mmmm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Analysis!$G$2:$G$13</c:f>
              <c:numCache>
                <c:formatCode>#,##0.00</c:formatCode>
                <c:ptCount val="12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3-4228-A208-7E7E4041E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90431"/>
        <c:axId val="193123391"/>
      </c:lineChart>
      <c:dateAx>
        <c:axId val="135890431"/>
        <c:scaling>
          <c:orientation val="minMax"/>
        </c:scaling>
        <c:delete val="0"/>
        <c:axPos val="b"/>
        <c:numFmt formatCode="m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23391"/>
        <c:crosses val="autoZero"/>
        <c:auto val="1"/>
        <c:lblOffset val="100"/>
        <c:baseTimeUnit val="months"/>
      </c:dateAx>
      <c:valAx>
        <c:axId val="19312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9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Revenue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(Analysis!$K$2,Analysis!$K$3,Analysis!$K$4)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(Analysis!$M$2,Analysis!$M$3,Analysis!$M$4)</c:f>
              <c:numCache>
                <c:formatCode>#,##0.00</c:formatCode>
                <c:ptCount val="3"/>
                <c:pt idx="0">
                  <c:v>106200.37050000011</c:v>
                </c:pt>
                <c:pt idx="1">
                  <c:v>106197.67199999996</c:v>
                </c:pt>
                <c:pt idx="2">
                  <c:v>110568.70649999994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F-4554-A66A-728DBF10B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236111"/>
        <c:axId val="193172831"/>
      </c:barChart>
      <c:catAx>
        <c:axId val="31423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72831"/>
        <c:crosses val="autoZero"/>
        <c:auto val="1"/>
        <c:lblAlgn val="ctr"/>
        <c:lblOffset val="100"/>
        <c:noMultiLvlLbl val="0"/>
      </c:catAx>
      <c:valAx>
        <c:axId val="19317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3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ysClr val="windowText" lastClr="000000"/>
                </a:solidFill>
                <a:latin typeface="Calibri"/>
              </a:defRPr>
            </a:pPr>
            <a:r>
              <a:rPr lang="en-US" sz="1400" b="0" strike="noStrike" spc="-1">
                <a:solidFill>
                  <a:sysClr val="windowText" lastClr="000000"/>
                </a:solidFill>
                <a:latin typeface="Calibri"/>
              </a:rPr>
              <a:t>Revenue by Product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Analysis!$N$7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5B9BD5"/>
            </a:solidFill>
            <a:ln w="6480">
              <a:solidFill>
                <a:srgbClr val="FFFFFF"/>
              </a:solidFill>
              <a:round/>
            </a:ln>
          </c:spPr>
          <c:invertIfNegative val="0"/>
          <c:cat>
            <c:strRef>
              <c:f>Analysis!$K$8:$K$13</c:f>
              <c:strCache>
                <c:ptCount val="6"/>
                <c:pt idx="0">
                  <c:v>Health and beauty</c:v>
                </c:pt>
                <c:pt idx="1">
                  <c:v>Home and lifestyle</c:v>
                </c:pt>
                <c:pt idx="2">
                  <c:v>Fashion accessories</c:v>
                </c:pt>
                <c:pt idx="3">
                  <c:v>Electronic accessories</c:v>
                </c:pt>
                <c:pt idx="4">
                  <c:v>Sports and travel</c:v>
                </c:pt>
                <c:pt idx="5">
                  <c:v>Food and beverages</c:v>
                </c:pt>
              </c:strCache>
            </c:strRef>
          </c:cat>
          <c:val>
            <c:numRef>
              <c:f>Analysis!$N$8:$N$13</c:f>
              <c:numCache>
                <c:formatCode>General</c:formatCode>
                <c:ptCount val="6"/>
                <c:pt idx="0">
                  <c:v>49193.739000000016</c:v>
                </c:pt>
                <c:pt idx="1">
                  <c:v>53861.913000000008</c:v>
                </c:pt>
                <c:pt idx="2">
                  <c:v>54305.894999999997</c:v>
                </c:pt>
                <c:pt idx="3">
                  <c:v>54337.531500000005</c:v>
                </c:pt>
                <c:pt idx="4">
                  <c:v>55122.826499999996</c:v>
                </c:pt>
                <c:pt idx="5">
                  <c:v>56144.844000000005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1-4290-8194-2CCF305D5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60363"/>
        <c:axId val="17675372"/>
      </c:barChart>
      <c:catAx>
        <c:axId val="424603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675372"/>
        <c:crosses val="autoZero"/>
        <c:auto val="1"/>
        <c:lblAlgn val="ctr"/>
        <c:lblOffset val="100"/>
        <c:noMultiLvlLbl val="0"/>
      </c:catAx>
      <c:valAx>
        <c:axId val="17675372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4603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171450</xdr:rowOff>
    </xdr:from>
    <xdr:to>
      <xdr:col>5</xdr:col>
      <xdr:colOff>98425</xdr:colOff>
      <xdr:row>19</xdr:row>
      <xdr:rowOff>100161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E0F642-0D6B-4935-9F8E-0F94CEAF9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215900</xdr:colOff>
      <xdr:row>7</xdr:row>
      <xdr:rowOff>155575</xdr:rowOff>
    </xdr:from>
    <xdr:to>
      <xdr:col>11</xdr:col>
      <xdr:colOff>609599</xdr:colOff>
      <xdr:row>19</xdr:row>
      <xdr:rowOff>77841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B1676-D9A1-4CBE-82FB-F69BB2ABF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9525</xdr:colOff>
      <xdr:row>22</xdr:row>
      <xdr:rowOff>0</xdr:rowOff>
    </xdr:from>
    <xdr:to>
      <xdr:col>5</xdr:col>
      <xdr:colOff>66675</xdr:colOff>
      <xdr:row>35</xdr:row>
      <xdr:rowOff>114898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FB8D2F-30B7-4F53-B8DA-8A0950DE9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9A16F5-07AD-463E-AABF-E4C952F65DC1}" name="ProductLine" displayName="ProductLine" ref="K7:N13" totalsRowShown="0">
  <autoFilter ref="K7:N13" xr:uid="{D69A16F5-07AD-463E-AABF-E4C952F65DC1}"/>
  <tableColumns count="4">
    <tableColumn id="1" xr3:uid="{0A1F265F-9240-4840-840F-A6A88080B8E6}" name="Product Line"/>
    <tableColumn id="2" xr3:uid="{58C6CA27-09F6-49C0-A96C-B62866E62B5C}" name="Transactions">
      <calculatedColumnFormula>COUNTIF(SalesData[product_line],K8)</calculatedColumnFormula>
    </tableColumn>
    <tableColumn id="3" xr3:uid="{022A386C-D45C-4B04-B0B9-A8EFD080C86E}" name="Units Sold">
      <calculatedColumnFormula>SUMIF(SalesData[product_line],K8,SalesData[quantity])</calculatedColumnFormula>
    </tableColumn>
    <tableColumn id="4" xr3:uid="{E58EE3BD-5E41-4E0D-8671-BA7671CD8D65}" name="Revenue" dataDxfId="12">
      <calculatedColumnFormula>SUMIF(SalesData[product_line],K8,SalesData[total])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0C0EA0-9C1F-41D9-886E-CDF5B2035D7E}" name="Table3" displayName="Table3" ref="A1:B7" totalsRowShown="0">
  <autoFilter ref="A1:B7" xr:uid="{110C0EA0-9C1F-41D9-886E-CDF5B2035D7E}"/>
  <tableColumns count="2">
    <tableColumn id="1" xr3:uid="{912CECC8-43AB-4E5A-AF9D-A29D6BD33E0E}" name="Metric"/>
    <tableColumn id="2" xr3:uid="{742FC20B-0485-471A-837C-6BFEC806FE89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9E2EE6-F4BB-442F-AEB5-737369F24D89}" name="Table4" displayName="Table4" ref="D1:I4" totalsRowShown="0" headerRowDxfId="11" dataDxfId="10">
  <autoFilter ref="D1:I4" xr:uid="{479E2EE6-F4BB-442F-AEB5-737369F24D89}"/>
  <tableColumns count="6">
    <tableColumn id="1" xr3:uid="{3DDDD24C-3AC4-48B6-81FD-9F2F7250AFF8}" name="Month" dataDxfId="9"/>
    <tableColumn id="2" xr3:uid="{6021ED22-6908-4B4C-9D98-43CA59529028}" name="Transactions" dataDxfId="8"/>
    <tableColumn id="3" xr3:uid="{06F438D5-2614-4F19-AC92-3490069594D5}" name="Units Sold" dataDxfId="7"/>
    <tableColumn id="4" xr3:uid="{4F59655C-3AF4-4EAF-85CF-533F84D75E19}" name="Revenue" dataDxfId="6"/>
    <tableColumn id="5" xr3:uid="{CCB39E35-9508-4B49-8B6D-A49CD3D44D69}" name="Gross Income" dataDxfId="5"/>
    <tableColumn id="6" xr3:uid="{AE6FF0A0-CD2F-4E62-B0D0-544F89B61969}" name="Avg Transaction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C778ED-193E-4706-927B-CF831C63D874}" name="Table5" displayName="Table5" ref="K1:N4" totalsRowShown="0">
  <autoFilter ref="K1:N4" xr:uid="{34C778ED-193E-4706-927B-CF831C63D874}"/>
  <tableColumns count="4">
    <tableColumn id="1" xr3:uid="{30E5A547-3A19-48B7-8319-08AC5CF3E7CE}" name="Branch"/>
    <tableColumn id="2" xr3:uid="{A13B52ED-8C06-47A8-BD4B-6296BD5C7C1C}" name="Transactions">
      <calculatedColumnFormula>COUNTIFS(SalesData[branch],K2)</calculatedColumnFormula>
    </tableColumn>
    <tableColumn id="3" xr3:uid="{A55220F4-6581-42A5-B083-5D989DB3BB3F}" name="Revenue" dataDxfId="3">
      <calculatedColumnFormula>SUMIF(SalesData[branch],K2,SalesData[total])</calculatedColumnFormula>
    </tableColumn>
    <tableColumn id="4" xr3:uid="{2B5FCF68-7DB8-4704-B7A6-F2D9B9B17949}" name="Avg Transaction" dataDxfId="2">
      <calculatedColumnFormula>M2/L2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37EDA7-A8ED-48BE-8DA4-0C84BEC5190F}" name="SalesData" displayName="SalesData" ref="A1:Q1001" totalsRowShown="0">
  <autoFilter ref="A1:Q1001" xr:uid="{AD37EDA7-A8ED-48BE-8DA4-0C84BEC5190F}"/>
  <tableColumns count="17">
    <tableColumn id="1" xr3:uid="{B04F243F-B06B-45BA-A5D6-2AC745A25C18}" name="invoice_id"/>
    <tableColumn id="2" xr3:uid="{ADF69F92-F5D8-4204-8487-565728E3D364}" name="branch"/>
    <tableColumn id="3" xr3:uid="{D6E5DDC1-9DC0-48BA-86D2-EC61EB182445}" name="city"/>
    <tableColumn id="4" xr3:uid="{35FD11BA-8F72-4FE9-933A-AFA4C4354C90}" name="customer_type"/>
    <tableColumn id="5" xr3:uid="{23D56071-65C7-43C8-B459-C4A3890FBF5F}" name="gender"/>
    <tableColumn id="6" xr3:uid="{0D1D4FE1-9F82-467E-A57A-9A459973C74A}" name="product_line"/>
    <tableColumn id="7" xr3:uid="{B95C1633-BBFC-4F7C-A367-AFB642DB5321}" name="unit_price"/>
    <tableColumn id="8" xr3:uid="{E0A2AFAC-A736-49E0-BE21-3DFA08440FB3}" name="quantity"/>
    <tableColumn id="9" xr3:uid="{FAFA5879-739E-4AAA-AD02-C69F6AD2DCB3}" name="tax"/>
    <tableColumn id="10" xr3:uid="{7425DB8D-5317-4F8E-A89E-432AC2BA060C}" name="total"/>
    <tableColumn id="11" xr3:uid="{FABB60DF-7E3F-4C04-AFE5-535BEF88832D}" name="date" dataDxfId="1"/>
    <tableColumn id="12" xr3:uid="{D1E3D26F-CA34-4D9C-AA54-F6FB2AB2251D}" name="time" dataDxfId="0"/>
    <tableColumn id="13" xr3:uid="{96C18BD7-0ACC-4559-933E-F157C8821F23}" name="payment"/>
    <tableColumn id="14" xr3:uid="{0BCD094C-2DB7-40DF-AFDA-51EA221B75B3}" name="cogs"/>
    <tableColumn id="15" xr3:uid="{971AFC31-326E-4540-A4D3-42282866661C}" name="gross_margin_percentage"/>
    <tableColumn id="16" xr3:uid="{7B9068E0-EF10-4EEC-8FF5-382DBC38B7D9}" name="gross_income"/>
    <tableColumn id="17" xr3:uid="{F7C1B984-5675-4360-BB99-4178C2C73565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1920-76BA-4035-A63C-495DB18B0A64}">
  <sheetPr>
    <pageSetUpPr fitToPage="1"/>
  </sheetPr>
  <dimension ref="A1:N52"/>
  <sheetViews>
    <sheetView showGridLines="0" tabSelected="1" topLeftCell="A12" zoomScaleNormal="100" workbookViewId="0">
      <selection activeCell="F19" sqref="F19"/>
    </sheetView>
  </sheetViews>
  <sheetFormatPr defaultRowHeight="15" x14ac:dyDescent="0.25"/>
  <cols>
    <col min="1" max="1" width="13.85546875" bestFit="1" customWidth="1"/>
    <col min="4" max="4" width="12.85546875" bestFit="1" customWidth="1"/>
    <col min="7" max="7" width="12" bestFit="1" customWidth="1"/>
    <col min="10" max="10" width="9.85546875" bestFit="1" customWidth="1"/>
  </cols>
  <sheetData>
    <row r="1" spans="1:14" x14ac:dyDescent="0.25">
      <c r="A1" s="20" t="s">
        <v>1051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x14ac:dyDescent="0.25">
      <c r="A3" s="21" t="s">
        <v>1052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5" spans="1:14" x14ac:dyDescent="0.25">
      <c r="A5" s="22" t="s">
        <v>1038</v>
      </c>
      <c r="B5" s="22"/>
      <c r="C5" s="22"/>
      <c r="D5" s="22" t="s">
        <v>1039</v>
      </c>
      <c r="E5" s="22"/>
      <c r="F5" s="22"/>
      <c r="G5" s="22" t="s">
        <v>1045</v>
      </c>
      <c r="H5" s="22"/>
      <c r="I5" s="22"/>
      <c r="J5" s="22" t="s">
        <v>1046</v>
      </c>
      <c r="K5" s="22"/>
      <c r="L5" s="22"/>
    </row>
    <row r="6" spans="1:14" x14ac:dyDescent="0.25">
      <c r="A6" s="23">
        <f>Analysis!B2</f>
        <v>322966.74900000007</v>
      </c>
      <c r="B6" s="23"/>
      <c r="C6" s="23"/>
      <c r="D6" s="23">
        <f>Analysis!B3</f>
        <v>15379.369000000002</v>
      </c>
      <c r="E6" s="23"/>
      <c r="F6" s="23"/>
      <c r="G6" s="24">
        <f>Analysis!B4</f>
        <v>1000</v>
      </c>
      <c r="H6" s="24"/>
      <c r="I6" s="24"/>
      <c r="J6" s="24">
        <f>Analysis!B5</f>
        <v>5510</v>
      </c>
      <c r="K6" s="24"/>
      <c r="L6" s="24"/>
    </row>
    <row r="8" spans="1:14" x14ac:dyDescent="0.25">
      <c r="A8" s="9" t="s">
        <v>1066</v>
      </c>
    </row>
    <row r="24" spans="7:14" x14ac:dyDescent="0.25">
      <c r="G24" s="19" t="s">
        <v>1053</v>
      </c>
      <c r="H24" s="19"/>
      <c r="I24" s="19"/>
      <c r="J24" s="19"/>
      <c r="K24" s="19"/>
      <c r="L24" s="19"/>
    </row>
    <row r="25" spans="7:14" x14ac:dyDescent="0.25">
      <c r="G25" s="14" t="s">
        <v>1056</v>
      </c>
      <c r="H25" s="15"/>
      <c r="I25" s="15"/>
      <c r="J25" s="15"/>
      <c r="K25" s="15"/>
      <c r="L25" s="15"/>
    </row>
    <row r="26" spans="7:14" x14ac:dyDescent="0.25">
      <c r="G26" s="15"/>
      <c r="H26" s="15"/>
      <c r="I26" s="15"/>
      <c r="J26" s="15"/>
      <c r="K26" s="15"/>
      <c r="L26" s="15"/>
    </row>
    <row r="27" spans="7:14" ht="15" customHeight="1" x14ac:dyDescent="0.25">
      <c r="G27" s="18" t="s">
        <v>1057</v>
      </c>
      <c r="H27" s="18"/>
      <c r="I27" s="18"/>
      <c r="J27" s="18"/>
      <c r="K27" s="18"/>
      <c r="L27" s="18"/>
    </row>
    <row r="28" spans="7:14" ht="15.75" customHeight="1" x14ac:dyDescent="0.25">
      <c r="G28" s="16" t="s">
        <v>1062</v>
      </c>
      <c r="H28" s="17"/>
      <c r="I28" s="17"/>
      <c r="J28" s="17"/>
      <c r="K28" s="17"/>
      <c r="L28" s="17"/>
      <c r="M28" s="6"/>
      <c r="N28" s="6"/>
    </row>
    <row r="29" spans="7:14" ht="15" customHeight="1" x14ac:dyDescent="0.25">
      <c r="G29" s="17"/>
      <c r="H29" s="17"/>
      <c r="I29" s="17"/>
      <c r="J29" s="17"/>
      <c r="K29" s="17"/>
      <c r="L29" s="17"/>
      <c r="M29" s="5"/>
      <c r="N29" s="5"/>
    </row>
    <row r="30" spans="7:14" ht="15" customHeight="1" x14ac:dyDescent="0.25">
      <c r="G30" s="14" t="s">
        <v>1058</v>
      </c>
      <c r="H30" s="15"/>
      <c r="I30" s="15"/>
      <c r="J30" s="15"/>
      <c r="K30" s="15"/>
      <c r="L30" s="15"/>
      <c r="M30" s="5"/>
      <c r="N30" s="5"/>
    </row>
    <row r="31" spans="7:14" ht="15" customHeight="1" x14ac:dyDescent="0.25">
      <c r="G31" s="15"/>
      <c r="H31" s="15"/>
      <c r="I31" s="15"/>
      <c r="J31" s="15"/>
      <c r="K31" s="15"/>
      <c r="L31" s="15"/>
      <c r="M31" s="5"/>
      <c r="N31" s="5"/>
    </row>
    <row r="32" spans="7:14" ht="15" customHeight="1" x14ac:dyDescent="0.25">
      <c r="G32" s="14" t="s">
        <v>1055</v>
      </c>
      <c r="H32" s="15"/>
      <c r="I32" s="15"/>
      <c r="J32" s="15"/>
      <c r="K32" s="15"/>
      <c r="L32" s="15"/>
      <c r="M32" s="5"/>
      <c r="N32" s="5"/>
    </row>
    <row r="33" spans="3:14" ht="15" customHeight="1" x14ac:dyDescent="0.25">
      <c r="G33" s="15"/>
      <c r="H33" s="15"/>
      <c r="I33" s="15"/>
      <c r="J33" s="15"/>
      <c r="K33" s="15"/>
      <c r="L33" s="15"/>
      <c r="M33" s="5"/>
      <c r="N33" s="5"/>
    </row>
    <row r="34" spans="3:14" ht="15" customHeight="1" x14ac:dyDescent="0.25">
      <c r="J34" s="5"/>
      <c r="K34" s="5"/>
      <c r="L34" s="5"/>
      <c r="M34" s="5"/>
      <c r="N34" s="5"/>
    </row>
    <row r="35" spans="3:14" ht="15" customHeight="1" x14ac:dyDescent="0.25">
      <c r="J35" s="5"/>
      <c r="K35" s="5"/>
      <c r="L35" s="5"/>
      <c r="M35" s="5"/>
      <c r="N35" s="5"/>
    </row>
    <row r="36" spans="3:14" x14ac:dyDescent="0.25">
      <c r="J36" s="5"/>
      <c r="K36" s="5"/>
      <c r="L36" s="5"/>
      <c r="M36" s="5"/>
      <c r="N36" s="5"/>
    </row>
    <row r="37" spans="3:14" ht="15" customHeight="1" x14ac:dyDescent="0.25">
      <c r="J37" s="5"/>
      <c r="K37" s="5"/>
      <c r="L37" s="5"/>
      <c r="M37" s="5"/>
      <c r="N37" s="5"/>
    </row>
    <row r="38" spans="3:14" x14ac:dyDescent="0.25">
      <c r="C38" s="11" t="s">
        <v>1054</v>
      </c>
      <c r="D38" s="11"/>
      <c r="E38" s="11"/>
      <c r="F38" s="11"/>
      <c r="G38" s="11"/>
      <c r="H38" s="11"/>
      <c r="I38" s="11"/>
      <c r="J38" s="11"/>
      <c r="K38" s="5"/>
      <c r="L38" s="5"/>
      <c r="M38" s="5"/>
      <c r="N38" s="5"/>
    </row>
    <row r="39" spans="3:14" x14ac:dyDescent="0.25">
      <c r="C39" s="11"/>
      <c r="D39" s="11"/>
      <c r="E39" s="11"/>
      <c r="F39" s="11"/>
      <c r="G39" s="11"/>
      <c r="H39" s="11"/>
      <c r="I39" s="11"/>
      <c r="J39" s="11"/>
    </row>
    <row r="40" spans="3:14" x14ac:dyDescent="0.25">
      <c r="C40" s="12" t="s">
        <v>1059</v>
      </c>
      <c r="D40" s="12"/>
      <c r="E40" s="12"/>
      <c r="F40" s="12"/>
      <c r="G40" s="12"/>
      <c r="H40" s="12"/>
      <c r="I40" s="12"/>
      <c r="J40" s="12"/>
    </row>
    <row r="41" spans="3:14" x14ac:dyDescent="0.25">
      <c r="C41" s="12"/>
      <c r="D41" s="12"/>
      <c r="E41" s="12"/>
      <c r="F41" s="12"/>
      <c r="G41" s="12"/>
      <c r="H41" s="12"/>
      <c r="I41" s="12"/>
      <c r="J41" s="12"/>
    </row>
    <row r="42" spans="3:14" x14ac:dyDescent="0.25">
      <c r="C42" s="13" t="s">
        <v>1060</v>
      </c>
      <c r="D42" s="13"/>
      <c r="E42" s="13"/>
      <c r="F42" s="13"/>
      <c r="G42" s="13"/>
      <c r="H42" s="13"/>
      <c r="I42" s="13"/>
      <c r="J42" s="13"/>
    </row>
    <row r="43" spans="3:14" x14ac:dyDescent="0.25">
      <c r="C43" s="13"/>
      <c r="D43" s="13"/>
      <c r="E43" s="13"/>
      <c r="F43" s="13"/>
      <c r="G43" s="13"/>
      <c r="H43" s="13"/>
      <c r="I43" s="13"/>
      <c r="J43" s="13"/>
      <c r="K43" s="8"/>
    </row>
    <row r="44" spans="3:14" x14ac:dyDescent="0.25">
      <c r="C44" s="12" t="s">
        <v>1065</v>
      </c>
      <c r="D44" s="12"/>
      <c r="E44" s="12"/>
      <c r="F44" s="12"/>
      <c r="G44" s="12"/>
      <c r="H44" s="12"/>
      <c r="I44" s="12"/>
      <c r="J44" s="12"/>
      <c r="K44" s="8"/>
    </row>
    <row r="45" spans="3:14" ht="15" customHeight="1" x14ac:dyDescent="0.25">
      <c r="C45" s="12"/>
      <c r="D45" s="12"/>
      <c r="E45" s="12"/>
      <c r="F45" s="12"/>
      <c r="G45" s="12"/>
      <c r="H45" s="12"/>
      <c r="I45" s="12"/>
      <c r="J45" s="12"/>
      <c r="K45" s="7"/>
    </row>
    <row r="46" spans="3:14" x14ac:dyDescent="0.25">
      <c r="C46" s="12" t="s">
        <v>1061</v>
      </c>
      <c r="D46" s="12"/>
      <c r="E46" s="12"/>
      <c r="F46" s="12"/>
      <c r="G46" s="12"/>
      <c r="H46" s="12"/>
      <c r="I46" s="12"/>
      <c r="J46" s="12"/>
      <c r="K46" s="7"/>
    </row>
    <row r="47" spans="3:14" ht="15" customHeight="1" x14ac:dyDescent="0.25">
      <c r="C47" s="12"/>
      <c r="D47" s="12"/>
      <c r="E47" s="12"/>
      <c r="F47" s="12"/>
      <c r="G47" s="12"/>
      <c r="H47" s="12"/>
      <c r="I47" s="12"/>
      <c r="J47" s="12"/>
      <c r="K47" s="7"/>
    </row>
    <row r="48" spans="3:14" x14ac:dyDescent="0.25">
      <c r="D48" s="7"/>
      <c r="E48" s="7"/>
      <c r="F48" s="7"/>
      <c r="G48" s="7"/>
      <c r="H48" s="7"/>
      <c r="I48" s="7"/>
      <c r="J48" s="7"/>
      <c r="K48" s="7"/>
    </row>
    <row r="49" spans="1:11" ht="15" customHeight="1" x14ac:dyDescent="0.25">
      <c r="D49" s="7"/>
      <c r="E49" s="7"/>
      <c r="F49" s="7"/>
      <c r="G49" s="7"/>
      <c r="H49" s="7"/>
      <c r="I49" s="7"/>
      <c r="J49" s="7"/>
      <c r="K49" s="7"/>
    </row>
    <row r="50" spans="1:11" x14ac:dyDescent="0.25">
      <c r="A50" t="s">
        <v>1063</v>
      </c>
      <c r="D50" s="7"/>
      <c r="E50" s="7"/>
      <c r="F50" s="7"/>
      <c r="G50" s="7"/>
      <c r="H50" s="7"/>
      <c r="I50" s="7"/>
      <c r="J50" s="7"/>
      <c r="K50" s="7"/>
    </row>
    <row r="51" spans="1:11" ht="15" customHeight="1" x14ac:dyDescent="0.25">
      <c r="A51" t="s">
        <v>1064</v>
      </c>
      <c r="D51" s="7"/>
      <c r="E51" s="7"/>
      <c r="F51" s="7"/>
      <c r="G51" s="7"/>
      <c r="H51" s="7"/>
      <c r="I51" s="7"/>
      <c r="J51" s="7"/>
      <c r="K51" s="7"/>
    </row>
    <row r="52" spans="1:11" x14ac:dyDescent="0.25">
      <c r="D52" s="7"/>
      <c r="E52" s="7"/>
      <c r="F52" s="7"/>
      <c r="G52" s="7"/>
      <c r="H52" s="7"/>
      <c r="I52" s="7"/>
      <c r="J52" s="7"/>
      <c r="K52" s="7"/>
    </row>
  </sheetData>
  <mergeCells count="21">
    <mergeCell ref="G24:L24"/>
    <mergeCell ref="A1:N2"/>
    <mergeCell ref="A3:N3"/>
    <mergeCell ref="A5:C5"/>
    <mergeCell ref="D5:F5"/>
    <mergeCell ref="G5:I5"/>
    <mergeCell ref="J5:L5"/>
    <mergeCell ref="A6:C6"/>
    <mergeCell ref="D6:F6"/>
    <mergeCell ref="G6:I6"/>
    <mergeCell ref="J6:L6"/>
    <mergeCell ref="G25:L26"/>
    <mergeCell ref="G28:L29"/>
    <mergeCell ref="G30:L31"/>
    <mergeCell ref="G32:L33"/>
    <mergeCell ref="G27:L27"/>
    <mergeCell ref="C38:J39"/>
    <mergeCell ref="C40:J41"/>
    <mergeCell ref="C42:J43"/>
    <mergeCell ref="C44:J45"/>
    <mergeCell ref="C46:J47"/>
  </mergeCells>
  <printOptions horizontalCentered="1" verticalCentered="1"/>
  <pageMargins left="0.7" right="0.7" top="0.75" bottom="0.75" header="0.3" footer="0.3"/>
  <pageSetup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2611-4C9C-4EF5-B762-B7C6E7636FC5}">
  <dimension ref="A1:N13"/>
  <sheetViews>
    <sheetView workbookViewId="0">
      <selection activeCell="D14" sqref="D14"/>
    </sheetView>
  </sheetViews>
  <sheetFormatPr defaultRowHeight="15" x14ac:dyDescent="0.25"/>
  <cols>
    <col min="1" max="1" width="35.42578125" bestFit="1" customWidth="1"/>
    <col min="2" max="2" width="10.140625" bestFit="1" customWidth="1"/>
    <col min="4" max="4" width="9.140625" style="4" customWidth="1"/>
    <col min="5" max="5" width="14.140625" customWidth="1"/>
    <col min="6" max="6" width="12.140625" customWidth="1"/>
    <col min="7" max="7" width="11" customWidth="1"/>
    <col min="8" max="8" width="15.140625" customWidth="1"/>
    <col min="9" max="9" width="17" customWidth="1"/>
    <col min="11" max="11" width="20.42578125" bestFit="1" customWidth="1"/>
    <col min="12" max="12" width="14.140625" customWidth="1"/>
    <col min="13" max="13" width="12.140625" customWidth="1"/>
    <col min="14" max="14" width="17" customWidth="1"/>
  </cols>
  <sheetData>
    <row r="1" spans="1:14" x14ac:dyDescent="0.25">
      <c r="A1" t="s">
        <v>1036</v>
      </c>
      <c r="B1" t="s">
        <v>1037</v>
      </c>
      <c r="D1" s="4" t="s">
        <v>1044</v>
      </c>
      <c r="E1" t="s">
        <v>1045</v>
      </c>
      <c r="F1" t="s">
        <v>1046</v>
      </c>
      <c r="G1" t="s">
        <v>1047</v>
      </c>
      <c r="H1" t="s">
        <v>1039</v>
      </c>
      <c r="I1" t="s">
        <v>1048</v>
      </c>
      <c r="K1" t="s">
        <v>1049</v>
      </c>
      <c r="L1" t="s">
        <v>1045</v>
      </c>
      <c r="M1" t="s">
        <v>1047</v>
      </c>
      <c r="N1" t="s">
        <v>1048</v>
      </c>
    </row>
    <row r="2" spans="1:14" x14ac:dyDescent="0.25">
      <c r="A2" t="s">
        <v>1038</v>
      </c>
      <c r="B2" s="10">
        <f>SUM(SalesData[total])</f>
        <v>322966.74900000007</v>
      </c>
      <c r="D2" s="4">
        <v>43466</v>
      </c>
      <c r="E2">
        <f>COUNTIFS(SalesData[date],"&gt;="&amp;DATE(2019,1,1),SalesData[date],"&lt;"&amp;DATE(2019,2,1))</f>
        <v>352</v>
      </c>
      <c r="F2">
        <f>SUMIFS(SalesData[quantity],SalesData[date],"&gt;="&amp;DATE(2019,1,1),SalesData[date],"&lt;"&amp;DATE(2019,2,1))</f>
        <v>1965</v>
      </c>
      <c r="G2" s="10">
        <f>SUMIFS(SalesData[total],SalesData[date],"&gt;="&amp;DATE(2019,1,1),SalesData[date],"&lt;"&amp;DATE(2019,2,1))</f>
        <v>116291.86800000005</v>
      </c>
      <c r="H2" s="10">
        <f>SUMIFS(SalesData[gross_income],SalesData[date],"&gt;="&amp;DATE(2019,1,1),SalesData[date],"&lt;"&amp;DATE(2019,2,1))</f>
        <v>5537.7079999999987</v>
      </c>
      <c r="I2" s="3">
        <f>AVERAGEIFS(SalesData[total],SalesData[date],"&gt;="&amp;DATE(2019,1,1),SalesData[date],"&lt;"&amp;DATE(2019,2,1))</f>
        <v>330.37462500000015</v>
      </c>
      <c r="K2" t="s">
        <v>18</v>
      </c>
      <c r="L2">
        <f>COUNTIF(SalesData[branch],K2)</f>
        <v>340</v>
      </c>
      <c r="M2" s="10">
        <f>SUMIF(SalesData[branch],K2,SalesData[total])</f>
        <v>106200.37050000011</v>
      </c>
      <c r="N2" s="3">
        <f>M2/L2</f>
        <v>312.35403088235324</v>
      </c>
    </row>
    <row r="3" spans="1:14" x14ac:dyDescent="0.25">
      <c r="A3" t="s">
        <v>1039</v>
      </c>
      <c r="B3" s="10">
        <f>SUM(SalesData[gross_income])</f>
        <v>15379.369000000002</v>
      </c>
      <c r="D3" s="4">
        <v>43497</v>
      </c>
      <c r="E3">
        <f>COUNTIFS(SalesData[date],"&gt;="&amp;DATE(2019,2,1),SalesData[date],"&lt;"&amp;DATE(2019,3,1))</f>
        <v>303</v>
      </c>
      <c r="F3">
        <f>SUMIFS(SalesData[quantity],SalesData[date],"&gt;="&amp;DATE(2019,2,1),SalesData[date],"&lt;"&amp;DATE(2019,3,1))</f>
        <v>1654</v>
      </c>
      <c r="G3" s="10">
        <f>SUMIFS(SalesData[total],SalesData[date],"&gt;="&amp;DATE(2019,2,1),SalesData[date],"&lt;"&amp;DATE(2019,3,1))</f>
        <v>97219.373999999967</v>
      </c>
      <c r="H3" s="10">
        <f>SUMIFS(SalesData[gross_income],SalesData[date],"&gt;="&amp;DATE(2019,2,1),SalesData[date],"&lt;"&amp;DATE(2019,3,1))</f>
        <v>4629.4940000000006</v>
      </c>
      <c r="I3" s="3">
        <f>AVERAGEIFS(SalesData[total],SalesData[date],"&gt;="&amp;DATE(2019,2,1),SalesData[date],"&lt;"&amp;DATE(2019,3,1))</f>
        <v>320.8560198019801</v>
      </c>
      <c r="K3" t="s">
        <v>42</v>
      </c>
      <c r="L3">
        <f>COUNTIFS(SalesData[branch],K3)</f>
        <v>332</v>
      </c>
      <c r="M3" s="10">
        <f>SUMIF(SalesData[branch],K3,SalesData[total])</f>
        <v>106197.67199999996</v>
      </c>
      <c r="N3" s="3">
        <f>M3/L3</f>
        <v>319.87250602409625</v>
      </c>
    </row>
    <row r="4" spans="1:14" x14ac:dyDescent="0.25">
      <c r="A4" t="s">
        <v>1040</v>
      </c>
      <c r="B4">
        <f>COUNTA(SalesData[invoice_id])</f>
        <v>1000</v>
      </c>
      <c r="D4" s="4">
        <v>43525</v>
      </c>
      <c r="E4">
        <f>COUNTIFS(SalesData[date],"&gt;="&amp;DATE(2019,3,1),SalesData[date],"&lt;"&amp;DATE(2019,4,1))</f>
        <v>345</v>
      </c>
      <c r="F4">
        <f>SUMIFS(SalesData[quantity],SalesData[date],"&gt;="&amp;DATE(2019,3,1),SalesData[date],"&lt;"&amp;DATE(2019,4,1))</f>
        <v>1891</v>
      </c>
      <c r="G4" s="10">
        <f>SUMIFS(SalesData[total],SalesData[date],"&gt;="&amp;DATE(2019,3,1),SalesData[date],"&lt;"&amp;DATE(2019,4,1))</f>
        <v>109455.50700000004</v>
      </c>
      <c r="H4" s="10">
        <f>SUMIFS(SalesData[gross_income],SalesData[date],"&gt;="&amp;DATE(2019,3,1),SalesData[date],"&lt;"&amp;DATE(2019,4,1))</f>
        <v>5212.1670000000058</v>
      </c>
      <c r="I4" s="3">
        <f>AVERAGEIFS(SalesData[total],SalesData[date],"&gt;="&amp;DATE(2019,3,1),SalesData[date],"&lt;"&amp;DATE(2019,4,1))</f>
        <v>317.2623391304349</v>
      </c>
      <c r="K4" t="s">
        <v>25</v>
      </c>
      <c r="L4">
        <f>COUNTIFS(SalesData[branch],K4)</f>
        <v>328</v>
      </c>
      <c r="M4" s="10">
        <f>SUMIF(SalesData[branch],K4,SalesData[total])</f>
        <v>110568.70649999994</v>
      </c>
      <c r="N4" s="3">
        <f>M4/L4</f>
        <v>337.09971493902424</v>
      </c>
    </row>
    <row r="5" spans="1:14" x14ac:dyDescent="0.25">
      <c r="A5" t="s">
        <v>1041</v>
      </c>
      <c r="B5">
        <f>SUM(SalesData[quantity])</f>
        <v>5510</v>
      </c>
      <c r="G5" s="3"/>
      <c r="H5" s="3"/>
      <c r="I5" s="3"/>
    </row>
    <row r="6" spans="1:14" x14ac:dyDescent="0.25">
      <c r="A6" t="s">
        <v>1042</v>
      </c>
      <c r="B6" s="3">
        <f>AVERAGE(SalesData[total])</f>
        <v>322.96674900000005</v>
      </c>
    </row>
    <row r="7" spans="1:14" x14ac:dyDescent="0.25">
      <c r="A7" t="s">
        <v>1043</v>
      </c>
      <c r="B7" s="3">
        <f>AVERAGE(SalesData[gross_income])</f>
        <v>15.379369000000002</v>
      </c>
      <c r="K7" t="s">
        <v>1050</v>
      </c>
      <c r="L7" t="s">
        <v>1045</v>
      </c>
      <c r="M7" t="s">
        <v>1046</v>
      </c>
      <c r="N7" t="s">
        <v>1047</v>
      </c>
    </row>
    <row r="8" spans="1:14" x14ac:dyDescent="0.25">
      <c r="K8" t="s">
        <v>22</v>
      </c>
      <c r="L8">
        <f>COUNTIF(SalesData[product_line],K8)</f>
        <v>152</v>
      </c>
      <c r="M8">
        <f>SUMIF(SalesData[product_line],K8,SalesData[quantity])</f>
        <v>854</v>
      </c>
      <c r="N8" s="10">
        <f>SUMIF(SalesData[product_line],K8,SalesData[total])</f>
        <v>49193.739000000016</v>
      </c>
    </row>
    <row r="9" spans="1:14" x14ac:dyDescent="0.25">
      <c r="K9" t="s">
        <v>32</v>
      </c>
      <c r="L9">
        <f>COUNTIF(SalesData[product_line],K9)</f>
        <v>160</v>
      </c>
      <c r="M9">
        <f>SUMIF(SalesData[product_line],K9,SalesData[quantity])</f>
        <v>911</v>
      </c>
      <c r="N9" s="10">
        <f>SUMIF(SalesData[product_line],K9,SalesData[total])</f>
        <v>53861.913000000008</v>
      </c>
    </row>
    <row r="10" spans="1:14" x14ac:dyDescent="0.25">
      <c r="K10" t="s">
        <v>46</v>
      </c>
      <c r="L10">
        <f>COUNTIF(SalesData[product_line],K10)</f>
        <v>178</v>
      </c>
      <c r="M10">
        <f>SUMIF(SalesData[product_line],K10,SalesData[quantity])</f>
        <v>902</v>
      </c>
      <c r="N10" s="10">
        <f>SUMIF(SalesData[product_line],K10,SalesData[total])</f>
        <v>54305.894999999997</v>
      </c>
    </row>
    <row r="11" spans="1:14" x14ac:dyDescent="0.25">
      <c r="K11" t="s">
        <v>28</v>
      </c>
      <c r="L11">
        <f>COUNTIF(SalesData[product_line],K11)</f>
        <v>170</v>
      </c>
      <c r="M11">
        <f>SUMIF(SalesData[product_line],K11,SalesData[quantity])</f>
        <v>971</v>
      </c>
      <c r="N11" s="10">
        <f>SUMIF(SalesData[product_line],K11,SalesData[total])</f>
        <v>54337.531500000005</v>
      </c>
    </row>
    <row r="12" spans="1:14" x14ac:dyDescent="0.25">
      <c r="K12" t="s">
        <v>36</v>
      </c>
      <c r="L12">
        <f>COUNTIF(SalesData[product_line],K12)</f>
        <v>166</v>
      </c>
      <c r="M12">
        <f>SUMIF(SalesData[product_line],K12,SalesData[quantity])</f>
        <v>920</v>
      </c>
      <c r="N12" s="10">
        <f>SUMIF(SalesData[product_line],K12,SalesData[total])</f>
        <v>55122.826499999996</v>
      </c>
    </row>
    <row r="13" spans="1:14" x14ac:dyDescent="0.25">
      <c r="K13" t="s">
        <v>44</v>
      </c>
      <c r="L13">
        <f>COUNTIF(SalesData[product_line],K13)</f>
        <v>174</v>
      </c>
      <c r="M13">
        <f>SUMIF(SalesData[product_line],K13,SalesData[quantity])</f>
        <v>952</v>
      </c>
      <c r="N13" s="10">
        <f>SUMIF(SalesData[product_line],K13,SalesData[total])</f>
        <v>56144.844000000005</v>
      </c>
    </row>
  </sheetData>
  <phoneticPr fontId="1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811C-FF9D-4368-9582-49D11A0D114C}">
  <dimension ref="A1:Q1001"/>
  <sheetViews>
    <sheetView workbookViewId="0">
      <selection activeCell="G8" sqref="G8"/>
    </sheetView>
  </sheetViews>
  <sheetFormatPr defaultRowHeight="15" x14ac:dyDescent="0.25"/>
  <cols>
    <col min="1" max="1" width="12.28515625" customWidth="1"/>
    <col min="2" max="2" width="9.140625" customWidth="1"/>
    <col min="3" max="3" width="10.42578125" bestFit="1" customWidth="1"/>
    <col min="4" max="4" width="16.42578125" customWidth="1"/>
    <col min="5" max="5" width="9.42578125" customWidth="1"/>
    <col min="6" max="6" width="20.42578125" bestFit="1" customWidth="1"/>
    <col min="7" max="7" width="12.140625" customWidth="1"/>
    <col min="8" max="8" width="10.5703125" customWidth="1"/>
    <col min="9" max="9" width="8" bestFit="1" customWidth="1"/>
    <col min="10" max="10" width="9" bestFit="1" customWidth="1"/>
    <col min="11" max="11" width="9.7109375" bestFit="1" customWidth="1"/>
    <col min="12" max="12" width="8.140625" bestFit="1" customWidth="1"/>
    <col min="13" max="13" width="11" customWidth="1"/>
    <col min="14" max="14" width="7" bestFit="1" customWidth="1"/>
    <col min="15" max="15" width="25.85546875" customWidth="1"/>
    <col min="16" max="16" width="15.28515625" customWidth="1"/>
    <col min="17" max="17" width="8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2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2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2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25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25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25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25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25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25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25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25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25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25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25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25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5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5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5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5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5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5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5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5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5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5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5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5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5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5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5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5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5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5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5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5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5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5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5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5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5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5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5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5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5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5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5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5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5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5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5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5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5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5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5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5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5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5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5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5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5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5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5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5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5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5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5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5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5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5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5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5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5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5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5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5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5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5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5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5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5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5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5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5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5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5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5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5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5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5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5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5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5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5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5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5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5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5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5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5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5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5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5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5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5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5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5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5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5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5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5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5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5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5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5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5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5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5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5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5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5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5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5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5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5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5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5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5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5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5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5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5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5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5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5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5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5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5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5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5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5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5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5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5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5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5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5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5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5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5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5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5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5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5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5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5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5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5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5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5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5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5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5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5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5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5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5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5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5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5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5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5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5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5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5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5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5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5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5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5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5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5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5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5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5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5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5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5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5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5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5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5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5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5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5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25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5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5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5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5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5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25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5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5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5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5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5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5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5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5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5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5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5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5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5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5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5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5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5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5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5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5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5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5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5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5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5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5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5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5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5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5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5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5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5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5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5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5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5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5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5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5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5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25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5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5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5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5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5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5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5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5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5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5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5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5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5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5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5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5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5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5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5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5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5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5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5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5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5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5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5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5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5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5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5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5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5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5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5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5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5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5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5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5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5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5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5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5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5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5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5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5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5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5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5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5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5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5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5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5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5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5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5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5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5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5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5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5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5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5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5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5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5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5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5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25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5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5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5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5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5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5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5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5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5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5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5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5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25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5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5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5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5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5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5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5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5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5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5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5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5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5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5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2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5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5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5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5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5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5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5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5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5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5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5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5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5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5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5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5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5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5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5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5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5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5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5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5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5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5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5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5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5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5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5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5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5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5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5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5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5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5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5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5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5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5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5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5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5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5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5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5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5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5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5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5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5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5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5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5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5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5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5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5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5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5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5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5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5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5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5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5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5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5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5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5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5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5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5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5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5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5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5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5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5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5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5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5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5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5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5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5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5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5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5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5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5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5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5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5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5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5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5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5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5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5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5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5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5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5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5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5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5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5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5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5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5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5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5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5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5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5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5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5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5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5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5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5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5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5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5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5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5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5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5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5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5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5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5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5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5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5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5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5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5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5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5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5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5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5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5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5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5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5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5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5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5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5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5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5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5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5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5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5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5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5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5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5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5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5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5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5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5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5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5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5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5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5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5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5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5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5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5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5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5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5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5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5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5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5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5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5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5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5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5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5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5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5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5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5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5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25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5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5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5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5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5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5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5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5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5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5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5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5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5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5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5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5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5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5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5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5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5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5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5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5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5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5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5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5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5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5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5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5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5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5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5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5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5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5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5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5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5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5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5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5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5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5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5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5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5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5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5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5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5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5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5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5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5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5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5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5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5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5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5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5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5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5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5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5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5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5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5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5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5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5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5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5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5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5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5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5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5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5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5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5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5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5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5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5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5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5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5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5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5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5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5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5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5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5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5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5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5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5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5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5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5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5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5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5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5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5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5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5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5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5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5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5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5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5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5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5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5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5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5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5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5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5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5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5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5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5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5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5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5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5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5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5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5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5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5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25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5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5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5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5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5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5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5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5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5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5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5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5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5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5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5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5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5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5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5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5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5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5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5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5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5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5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5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5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Analysis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Gerry</dc:creator>
  <cp:lastModifiedBy>Achmad Gerry</cp:lastModifiedBy>
  <cp:lastPrinted>2026-09-09T19:18:18Z</cp:lastPrinted>
  <dcterms:created xsi:type="dcterms:W3CDTF">2015-06-05T18:17:20Z</dcterms:created>
  <dcterms:modified xsi:type="dcterms:W3CDTF">2026-09-11T23:04:31Z</dcterms:modified>
</cp:coreProperties>
</file>